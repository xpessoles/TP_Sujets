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TP_Sujets\"/>
    </mc:Choice>
  </mc:AlternateContent>
  <xr:revisionPtr revIDLastSave="0" documentId="13_ncr:1_{1041D834-B55F-4420-B89A-3F6905E399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lan_2026" sheetId="3" r:id="rId1"/>
    <sheet name="Sujets" sheetId="1" r:id="rId2"/>
    <sheet name="Feuil1" sheetId="2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1" l="1"/>
</calcChain>
</file>

<file path=xl/sharedStrings.xml><?xml version="1.0" encoding="utf-8"?>
<sst xmlns="http://schemas.openxmlformats.org/spreadsheetml/2006/main" count="237" uniqueCount="125">
  <si>
    <t>Chaine fonctionnelle du système</t>
  </si>
  <si>
    <t>Modélisation de tout ou partie du système</t>
  </si>
  <si>
    <t>Identification des caractéristiques d'un composant</t>
  </si>
  <si>
    <t>Analyse des effets d'un correcteur</t>
  </si>
  <si>
    <t>BGR 300</t>
  </si>
  <si>
    <t>Bras Beta</t>
  </si>
  <si>
    <t>Cheville NAO</t>
  </si>
  <si>
    <t>CoMAX</t>
  </si>
  <si>
    <t>ControlX</t>
  </si>
  <si>
    <t>Cordeuse</t>
  </si>
  <si>
    <t>DAE</t>
  </si>
  <si>
    <t>Drone D2C</t>
  </si>
  <si>
    <t>Ericc</t>
  </si>
  <si>
    <t>Evolap</t>
  </si>
  <si>
    <t>MaxPID</t>
  </si>
  <si>
    <t>Moteur CC</t>
  </si>
  <si>
    <t>Moby Crea</t>
  </si>
  <si>
    <t>Pilote Automatique</t>
  </si>
  <si>
    <t>Portail ABB</t>
  </si>
  <si>
    <t>Robot Delta 2D</t>
  </si>
  <si>
    <t>Sympact</t>
  </si>
  <si>
    <t>Toit 206</t>
  </si>
  <si>
    <t>Tourelle Motorisée</t>
  </si>
  <si>
    <t>Imprimante I3D</t>
  </si>
  <si>
    <t>Robot haptique</t>
  </si>
  <si>
    <t>Hyperstaticité</t>
  </si>
  <si>
    <t>Transmetteur</t>
  </si>
  <si>
    <t>x</t>
  </si>
  <si>
    <t>*</t>
  </si>
  <si>
    <t xml:space="preserve"> * Documentation à continuer.</t>
  </si>
  <si>
    <t>Résolution cinématique</t>
  </si>
  <si>
    <t>Analyser un système</t>
  </si>
  <si>
    <t>?</t>
  </si>
  <si>
    <t>Robot à câbles RC4</t>
  </si>
  <si>
    <t>1,2 ?</t>
  </si>
  <si>
    <t>2*</t>
  </si>
  <si>
    <t>* Comparer deux modes de raliement</t>
  </si>
  <si>
    <t xml:space="preserve"> * Documentation à continuer : explication logiciels et port com</t>
  </si>
  <si>
    <t>S. Abd</t>
  </si>
  <si>
    <t>C. Arg</t>
  </si>
  <si>
    <t>K All</t>
  </si>
  <si>
    <t>E Ala</t>
  </si>
  <si>
    <t>J. Ada</t>
  </si>
  <si>
    <t>M. Arn</t>
  </si>
  <si>
    <t>H Att</t>
  </si>
  <si>
    <t>V. Bel</t>
  </si>
  <si>
    <t>R. Ben</t>
  </si>
  <si>
    <t>J. Bes</t>
  </si>
  <si>
    <t>C. Bou</t>
  </si>
  <si>
    <t>E. Cam</t>
  </si>
  <si>
    <t>L. Cau</t>
  </si>
  <si>
    <t>A. Cha</t>
  </si>
  <si>
    <t>I Che</t>
  </si>
  <si>
    <t>J. Cor</t>
  </si>
  <si>
    <t>L. Cou</t>
  </si>
  <si>
    <t>M. Del</t>
  </si>
  <si>
    <t>C. Fer</t>
  </si>
  <si>
    <t>B. Fon</t>
  </si>
  <si>
    <t>B. Fou</t>
  </si>
  <si>
    <t>P. Fou</t>
  </si>
  <si>
    <t>N. Hal</t>
  </si>
  <si>
    <t>C. Hud</t>
  </si>
  <si>
    <t>N. Hup</t>
  </si>
  <si>
    <t>C. Laf</t>
  </si>
  <si>
    <t>A. Lam</t>
  </si>
  <si>
    <t>E. Lan</t>
  </si>
  <si>
    <t>V. Lan</t>
  </si>
  <si>
    <t>L. Lya</t>
  </si>
  <si>
    <t>S. Mal</t>
  </si>
  <si>
    <t>E. Maz</t>
  </si>
  <si>
    <t>E. Oud</t>
  </si>
  <si>
    <t>L. Pen</t>
  </si>
  <si>
    <t>J. Pin</t>
  </si>
  <si>
    <t>C. Rat</t>
  </si>
  <si>
    <t>Q. Rou</t>
  </si>
  <si>
    <t xml:space="preserve"> * Documentation à continuer (composants et courbes), mesure d'échantilloonage et choix des courbes</t>
  </si>
  <si>
    <t>Loi de mouvement (Souhaité - Reél)</t>
  </si>
  <si>
    <t>Identif BO</t>
  </si>
  <si>
    <t>L. Gro</t>
  </si>
  <si>
    <t>H. Gui</t>
  </si>
  <si>
    <t>J. Cont</t>
  </si>
  <si>
    <t>1,5,</t>
  </si>
  <si>
    <t>1,2,</t>
  </si>
  <si>
    <t>1,2,4</t>
  </si>
  <si>
    <t>M. Mai</t>
  </si>
  <si>
    <t>1,10,</t>
  </si>
  <si>
    <t>1,,</t>
  </si>
  <si>
    <t>1,2,5</t>
  </si>
  <si>
    <t>Modélisation cinématique
Chaines de solides</t>
  </si>
  <si>
    <t>Modélisation commande Seq</t>
  </si>
  <si>
    <t>Dimensionnement d'un actionneur - Statique</t>
  </si>
  <si>
    <t>Dimensionnement d'un actionneur - Dynamique</t>
  </si>
  <si>
    <t>Mesure de R moteur</t>
  </si>
  <si>
    <t>Mesure de L moteur</t>
  </si>
  <si>
    <t>Mesure de Kc/Ke</t>
  </si>
  <si>
    <t>Mesure de J</t>
  </si>
  <si>
    <t>Identification moteur BO tempo</t>
  </si>
  <si>
    <t>Identification moteur BO fréq</t>
  </si>
  <si>
    <t>Identification frottement sec</t>
  </si>
  <si>
    <t>Identification frottement visqueux</t>
  </si>
  <si>
    <t>Raideur / Amortissement corde</t>
  </si>
  <si>
    <t>Frottement</t>
  </si>
  <si>
    <t>Inertie</t>
  </si>
  <si>
    <t>Choix et synthèse d'un correcteur</t>
  </si>
  <si>
    <t>Mise en service du système</t>
  </si>
  <si>
    <t>1*</t>
  </si>
  <si>
    <t>* : à vérifier</t>
  </si>
  <si>
    <t>TEC</t>
  </si>
  <si>
    <t>TO DO</t>
  </si>
  <si>
    <t>Sujet 4H</t>
  </si>
  <si>
    <t>TO DO ?</t>
  </si>
  <si>
    <t>:(</t>
  </si>
  <si>
    <t>Transmission</t>
  </si>
  <si>
    <t>Mesure de fv/fs</t>
  </si>
  <si>
    <t>Possibilité ?</t>
  </si>
  <si>
    <t>O</t>
  </si>
  <si>
    <t>N</t>
  </si>
  <si>
    <t>O?</t>
  </si>
  <si>
    <t>Attelle CPM 130</t>
  </si>
  <si>
    <t>Mise en service</t>
  </si>
  <si>
    <t>Mise en service rapide</t>
  </si>
  <si>
    <t>Existe + Vérif ok</t>
  </si>
  <si>
    <t>Existe + à vérifier</t>
  </si>
  <si>
    <t>ToDo</t>
  </si>
  <si>
    <t>MaxPIDE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</si>
</sst>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textRotation="90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0" xfId="0" applyBorder="1"/>
    <xf numFmtId="0" fontId="0" fillId="0" borderId="2" xfId="0" applyBorder="1"/>
    <xf numFmtId="0" fontId="0" fillId="0" borderId="11" xfId="0" applyBorder="1"/>
    <xf numFmtId="0" fontId="0" fillId="2" borderId="12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2" fillId="0" borderId="1" xfId="0" applyFont="1" applyBorder="1" applyAlignment="1">
      <alignment horizontal="center" textRotation="90" wrapText="1"/>
    </xf>
    <xf numFmtId="0" fontId="0" fillId="0" borderId="15" xfId="0" applyBorder="1" applyAlignment="1">
      <alignment horizontal="center" wrapText="1"/>
    </xf>
    <xf numFmtId="0" fontId="3" fillId="0" borderId="16" xfId="0" applyFont="1" applyBorder="1" applyAlignment="1">
      <alignment horizontal="center" textRotation="90" wrapText="1"/>
    </xf>
    <xf numFmtId="0" fontId="0" fillId="0" borderId="13" xfId="0" applyBorder="1" applyAlignment="1">
      <alignment horizontal="center" wrapText="1"/>
    </xf>
    <xf numFmtId="0" fontId="2" fillId="0" borderId="17" xfId="0" applyFont="1" applyBorder="1" applyAlignment="1">
      <alignment horizontal="center" textRotation="90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2" fillId="0" borderId="18" xfId="0" applyFont="1" applyBorder="1" applyAlignment="1">
      <alignment horizontal="center" textRotation="90" wrapText="1"/>
    </xf>
    <xf numFmtId="0" fontId="0" fillId="3" borderId="13" xfId="0" applyFill="1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  <xf numFmtId="0" fontId="0" fillId="4" borderId="0" xfId="0" applyFill="1"/>
    <xf numFmtId="0" fontId="4" fillId="0" borderId="0" xfId="0" applyFont="1"/>
    <xf numFmtId="0" fontId="5" fillId="0" borderId="0" xfId="0" applyFont="1"/>
    <xf numFmtId="0" fontId="0" fillId="5" borderId="13" xfId="0" applyFill="1" applyBorder="1" applyAlignment="1">
      <alignment horizontal="center" wrapText="1"/>
    </xf>
    <xf numFmtId="0" fontId="1" fillId="0" borderId="2" xfId="0" applyFont="1" applyBorder="1"/>
    <xf numFmtId="0" fontId="0" fillId="0" borderId="0" xfId="0" applyAlignment="1">
      <alignment horizontal="center" textRotation="90"/>
    </xf>
    <xf numFmtId="0" fontId="0" fillId="6" borderId="13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6" borderId="14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7" borderId="13" xfId="0" applyFill="1" applyBorder="1" applyAlignment="1">
      <alignment horizontal="center" wrapText="1"/>
    </xf>
    <xf numFmtId="0" fontId="2" fillId="0" borderId="24" xfId="0" applyFont="1" applyBorder="1" applyAlignment="1">
      <alignment textRotation="90" wrapText="1"/>
    </xf>
    <xf numFmtId="0" fontId="0" fillId="0" borderId="0" xfId="0" applyAlignment="1">
      <alignment textRotation="90"/>
    </xf>
    <xf numFmtId="0" fontId="3" fillId="0" borderId="25" xfId="0" applyFont="1" applyBorder="1" applyAlignment="1">
      <alignment horizontal="center" textRotation="90" wrapText="1"/>
    </xf>
    <xf numFmtId="0" fontId="0" fillId="0" borderId="10" xfId="0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7" borderId="5" xfId="0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2" fillId="0" borderId="27" xfId="0" applyFont="1" applyBorder="1" applyAlignment="1">
      <alignment horizontal="center" textRotation="90" wrapText="1"/>
    </xf>
    <xf numFmtId="0" fontId="0" fillId="3" borderId="5" xfId="0" applyFill="1" applyBorder="1" applyAlignment="1">
      <alignment horizontal="center" wrapText="1"/>
    </xf>
    <xf numFmtId="0" fontId="2" fillId="0" borderId="19" xfId="0" applyFont="1" applyBorder="1" applyAlignment="1">
      <alignment horizontal="center" textRotation="90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20" fontId="0" fillId="0" borderId="5" xfId="0" applyNumberFormat="1" applyBorder="1" applyAlignment="1">
      <alignment horizontal="center" wrapText="1"/>
    </xf>
    <xf numFmtId="0" fontId="0" fillId="2" borderId="2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7" borderId="31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3" fillId="0" borderId="32" xfId="0" applyFont="1" applyBorder="1" applyAlignment="1">
      <alignment horizontal="center" textRotation="90" wrapText="1"/>
    </xf>
    <xf numFmtId="0" fontId="0" fillId="3" borderId="14" xfId="0" applyFill="1" applyBorder="1" applyAlignment="1">
      <alignment horizontal="center" wrapText="1"/>
    </xf>
    <xf numFmtId="0" fontId="0" fillId="8" borderId="5" xfId="0" applyFill="1" applyBorder="1" applyAlignment="1">
      <alignment horizontal="center" wrapText="1"/>
    </xf>
    <xf numFmtId="0" fontId="0" fillId="3" borderId="33" xfId="0" applyFill="1" applyBorder="1" applyAlignment="1">
      <alignment horizontal="center" wrapText="1"/>
    </xf>
    <xf numFmtId="0" fontId="0" fillId="2" borderId="34" xfId="0" applyFill="1" applyBorder="1" applyAlignment="1">
      <alignment horizontal="center" wrapText="1"/>
    </xf>
    <xf numFmtId="0" fontId="0" fillId="2" borderId="35" xfId="0" applyFill="1" applyBorder="1" applyAlignment="1">
      <alignment horizontal="center" wrapText="1"/>
    </xf>
    <xf numFmtId="0" fontId="0" fillId="2" borderId="36" xfId="0" applyFill="1" applyBorder="1" applyAlignment="1">
      <alignment horizontal="center" wrapText="1"/>
    </xf>
    <xf numFmtId="0" fontId="0" fillId="3" borderId="35" xfId="0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6" fillId="0" borderId="0" xfId="0" applyFont="1" applyAlignment="1">
      <alignment horizontal="left"/>
    </xf>
    <xf numFmtId="0" fontId="2" fillId="0" borderId="8" xfId="0" applyFont="1" applyBorder="1" applyAlignment="1">
      <alignment horizontal="center" textRotation="90" wrapText="1"/>
    </xf>
    <xf numFmtId="0" fontId="2" fillId="0" borderId="9" xfId="0" applyFont="1" applyBorder="1" applyAlignment="1">
      <alignment horizontal="center" textRotation="90" wrapText="1"/>
    </xf>
    <xf numFmtId="0" fontId="2" fillId="0" borderId="24" xfId="0" applyFont="1" applyBorder="1" applyAlignment="1">
      <alignment horizontal="center" textRotation="90" wrapText="1"/>
    </xf>
    <xf numFmtId="0" fontId="2" fillId="0" borderId="19" xfId="0" applyFont="1" applyBorder="1" applyAlignment="1">
      <alignment horizontal="center" textRotation="90" wrapText="1"/>
    </xf>
    <xf numFmtId="0" fontId="2" fillId="0" borderId="17" xfId="0" applyFont="1" applyBorder="1" applyAlignment="1">
      <alignment horizontal="center" textRotation="90" wrapText="1"/>
    </xf>
    <xf numFmtId="0" fontId="0" fillId="0" borderId="12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0" fillId="0" borderId="26" xfId="0" applyFill="1" applyBorder="1" applyAlignment="1">
      <alignment horizontal="center" wrapText="1"/>
    </xf>
    <xf numFmtId="0" fontId="0" fillId="0" borderId="34" xfId="0" applyFill="1" applyBorder="1" applyAlignment="1">
      <alignment horizontal="center" wrapText="1"/>
    </xf>
    <xf numFmtId="0" fontId="0" fillId="0" borderId="28" xfId="0" applyFill="1" applyBorder="1" applyAlignment="1">
      <alignment horizontal="center" wrapText="1"/>
    </xf>
    <xf numFmtId="0" fontId="0" fillId="0" borderId="21" xfId="0" applyFill="1" applyBorder="1" applyAlignment="1">
      <alignment horizontal="center" wrapText="1"/>
    </xf>
    <xf numFmtId="0" fontId="0" fillId="0" borderId="13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35" xfId="0" applyFill="1" applyBorder="1" applyAlignment="1">
      <alignment horizontal="center" wrapText="1"/>
    </xf>
    <xf numFmtId="0" fontId="0" fillId="0" borderId="29" xfId="0" applyFill="1" applyBorder="1" applyAlignment="1">
      <alignment horizontal="center" wrapText="1"/>
    </xf>
    <xf numFmtId="0" fontId="0" fillId="0" borderId="22" xfId="0" applyFill="1" applyBorder="1" applyAlignment="1">
      <alignment horizontal="center" wrapText="1"/>
    </xf>
    <xf numFmtId="0" fontId="0" fillId="0" borderId="33" xfId="0" applyFill="1" applyBorder="1" applyAlignment="1">
      <alignment horizontal="center" wrapText="1"/>
    </xf>
    <xf numFmtId="0" fontId="1" fillId="0" borderId="2" xfId="0" applyFont="1" applyFill="1" applyBorder="1"/>
    <xf numFmtId="0" fontId="0" fillId="0" borderId="31" xfId="0" applyFill="1" applyBorder="1" applyAlignment="1">
      <alignment horizontal="center" wrapText="1"/>
    </xf>
    <xf numFmtId="20" fontId="0" fillId="0" borderId="5" xfId="0" applyNumberFormat="1" applyFill="1" applyBorder="1" applyAlignment="1">
      <alignment horizontal="center" wrapText="1"/>
    </xf>
    <xf numFmtId="0" fontId="0" fillId="0" borderId="14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36" xfId="0" applyFill="1" applyBorder="1" applyAlignment="1">
      <alignment horizontal="center" wrapText="1"/>
    </xf>
    <xf numFmtId="0" fontId="0" fillId="0" borderId="30" xfId="0" applyFill="1" applyBorder="1" applyAlignment="1">
      <alignment horizontal="center" wrapText="1"/>
    </xf>
    <xf numFmtId="0" fontId="0" fillId="0" borderId="23" xfId="0" applyFill="1" applyBorder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0" borderId="0" xfId="0" applyAlignment="1">
      <alignment horizontal="left"/>
    </xf>
    <xf numFmtId="0" fontId="0" fillId="10" borderId="0" xfId="0" applyFill="1" applyAlignment="1">
      <alignment horizontal="center" wrapText="1"/>
    </xf>
    <xf numFmtId="0" fontId="0" fillId="11" borderId="0" xfId="0" applyFill="1" applyAlignment="1">
      <alignment horizontal="center" wrapText="1"/>
    </xf>
    <xf numFmtId="0" fontId="0" fillId="0" borderId="2" xfId="0" applyFont="1" applyBorder="1"/>
    <xf numFmtId="0" fontId="0" fillId="0" borderId="0" xfId="0" applyFont="1"/>
    <xf numFmtId="0" fontId="0" fillId="0" borderId="18" xfId="0" applyBorder="1" applyAlignment="1">
      <alignment horizontal="center" wrapText="1"/>
    </xf>
    <xf numFmtId="0" fontId="0" fillId="10" borderId="13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5A67-6676-44A8-92CE-1726D77AF678}">
  <dimension ref="A1:Q32"/>
  <sheetViews>
    <sheetView tabSelected="1" topLeftCell="A3" workbookViewId="0">
      <pane xSplit="3670" activePane="topRight"/>
      <selection pane="topRight" activeCell="E10" sqref="E10"/>
    </sheetView>
  </sheetViews>
  <sheetFormatPr baseColWidth="10" defaultRowHeight="14.5" x14ac:dyDescent="0.35"/>
  <cols>
    <col min="1" max="1" width="5.26953125" style="2" customWidth="1"/>
    <col min="2" max="2" width="24.453125" bestFit="1" customWidth="1"/>
    <col min="3" max="16" width="5.453125" style="4" customWidth="1"/>
    <col min="17" max="17" width="5.453125" style="1" customWidth="1"/>
    <col min="18" max="18" width="5.453125" customWidth="1"/>
  </cols>
  <sheetData>
    <row r="1" spans="1:17" ht="15" thickBot="1" x14ac:dyDescent="0.4">
      <c r="C1" s="112">
        <v>1</v>
      </c>
      <c r="D1" s="112"/>
      <c r="E1" s="4">
        <v>2</v>
      </c>
      <c r="F1" s="4">
        <v>3</v>
      </c>
      <c r="G1" s="4">
        <v>4</v>
      </c>
      <c r="H1" s="4">
        <v>5</v>
      </c>
      <c r="I1" s="4">
        <v>6</v>
      </c>
      <c r="L1" s="4">
        <v>7</v>
      </c>
      <c r="M1" s="4">
        <v>8</v>
      </c>
      <c r="N1" s="4">
        <v>9</v>
      </c>
      <c r="O1" s="4">
        <v>10</v>
      </c>
      <c r="P1" s="4">
        <v>11</v>
      </c>
      <c r="Q1" s="1">
        <v>12</v>
      </c>
    </row>
    <row r="2" spans="1:17" ht="66" customHeight="1" thickBot="1" x14ac:dyDescent="0.4">
      <c r="C2" s="78" t="s">
        <v>31</v>
      </c>
      <c r="D2" s="80"/>
      <c r="E2" s="79"/>
      <c r="F2" s="42" t="s">
        <v>88</v>
      </c>
      <c r="G2" s="76" t="s">
        <v>30</v>
      </c>
      <c r="H2" s="77"/>
      <c r="I2" s="23" t="s">
        <v>1</v>
      </c>
      <c r="J2" s="78" t="s">
        <v>2</v>
      </c>
      <c r="K2" s="80"/>
      <c r="L2" s="79"/>
      <c r="M2" s="23" t="s">
        <v>90</v>
      </c>
      <c r="N2" s="23" t="s">
        <v>91</v>
      </c>
      <c r="O2" s="19" t="s">
        <v>3</v>
      </c>
      <c r="P2" s="55" t="s">
        <v>103</v>
      </c>
      <c r="Q2" s="3" t="s">
        <v>89</v>
      </c>
    </row>
    <row r="3" spans="1:17" ht="55" customHeight="1" thickBot="1" x14ac:dyDescent="0.4">
      <c r="C3" s="53" t="s">
        <v>119</v>
      </c>
      <c r="D3" s="28" t="s">
        <v>120</v>
      </c>
      <c r="E3" s="28" t="s">
        <v>0</v>
      </c>
      <c r="F3" s="28" t="s">
        <v>25</v>
      </c>
      <c r="G3" s="21" t="s">
        <v>76</v>
      </c>
      <c r="H3" s="44" t="s">
        <v>26</v>
      </c>
      <c r="I3" s="64"/>
      <c r="J3" s="65" t="s">
        <v>101</v>
      </c>
      <c r="K3" s="65" t="s">
        <v>112</v>
      </c>
      <c r="L3" s="65" t="s">
        <v>102</v>
      </c>
      <c r="N3" s="65" t="s">
        <v>107</v>
      </c>
      <c r="O3" s="20"/>
      <c r="P3" s="24"/>
    </row>
    <row r="4" spans="1:17" x14ac:dyDescent="0.35">
      <c r="A4" s="10">
        <v>1</v>
      </c>
      <c r="B4" s="14" t="s">
        <v>4</v>
      </c>
      <c r="C4" s="81"/>
      <c r="D4" s="81"/>
      <c r="E4" s="81"/>
      <c r="F4" s="81"/>
      <c r="G4" s="82"/>
      <c r="H4" s="83"/>
      <c r="I4" s="84"/>
      <c r="J4" s="82"/>
      <c r="K4" s="85"/>
      <c r="L4" s="84"/>
      <c r="M4" s="86"/>
      <c r="N4" s="84"/>
      <c r="O4" s="87"/>
      <c r="P4" s="87"/>
    </row>
    <row r="5" spans="1:17" x14ac:dyDescent="0.35">
      <c r="A5" s="12">
        <v>2</v>
      </c>
      <c r="B5" s="110" t="s">
        <v>5</v>
      </c>
      <c r="C5" s="88"/>
      <c r="D5" s="88"/>
      <c r="E5" s="88"/>
      <c r="F5" s="88"/>
      <c r="G5" s="89"/>
      <c r="H5" s="90"/>
      <c r="I5" s="91"/>
      <c r="J5" s="89"/>
      <c r="K5" s="92"/>
      <c r="L5" s="91"/>
      <c r="M5" s="93"/>
      <c r="N5" s="91"/>
      <c r="O5" s="94"/>
      <c r="P5" s="94"/>
      <c r="Q5"/>
    </row>
    <row r="6" spans="1:17" x14ac:dyDescent="0.35">
      <c r="A6" s="12">
        <v>3</v>
      </c>
      <c r="B6" s="111" t="s">
        <v>6</v>
      </c>
      <c r="C6" s="88"/>
      <c r="D6" s="88"/>
      <c r="E6" s="88"/>
      <c r="F6" s="88"/>
      <c r="G6" s="89"/>
      <c r="H6" s="90"/>
      <c r="I6" s="91"/>
      <c r="J6" s="89"/>
      <c r="K6" s="92"/>
      <c r="L6" s="91"/>
      <c r="M6" s="93"/>
      <c r="N6" s="91"/>
      <c r="O6" s="94"/>
      <c r="P6" s="94"/>
    </row>
    <row r="7" spans="1:17" x14ac:dyDescent="0.35">
      <c r="A7" s="12">
        <v>4</v>
      </c>
      <c r="B7" s="110" t="s">
        <v>7</v>
      </c>
      <c r="C7" s="88"/>
      <c r="D7" s="88"/>
      <c r="E7" s="88"/>
      <c r="F7" s="88"/>
      <c r="G7" s="89"/>
      <c r="H7" s="90"/>
      <c r="I7" s="91"/>
      <c r="J7" s="89"/>
      <c r="K7" s="92"/>
      <c r="L7" s="91"/>
      <c r="M7" s="93"/>
      <c r="N7" s="91"/>
      <c r="O7" s="94"/>
      <c r="P7" s="94"/>
    </row>
    <row r="8" spans="1:17" x14ac:dyDescent="0.35">
      <c r="A8" s="12">
        <v>5</v>
      </c>
      <c r="B8" s="110" t="s">
        <v>8</v>
      </c>
      <c r="C8" s="88"/>
      <c r="D8" s="88"/>
      <c r="E8" s="88"/>
      <c r="F8" s="88"/>
      <c r="G8" s="89"/>
      <c r="H8" s="90"/>
      <c r="I8" s="95"/>
      <c r="J8" s="89"/>
      <c r="K8" s="92"/>
      <c r="L8" s="91"/>
      <c r="M8" s="93"/>
      <c r="N8" s="91"/>
      <c r="O8" s="94"/>
      <c r="P8" s="94"/>
    </row>
    <row r="9" spans="1:17" x14ac:dyDescent="0.35">
      <c r="A9" s="12">
        <v>6</v>
      </c>
      <c r="B9" s="110" t="s">
        <v>9</v>
      </c>
      <c r="C9" s="88"/>
      <c r="D9" s="88"/>
      <c r="E9" s="88"/>
      <c r="F9" s="89"/>
      <c r="G9" s="89"/>
      <c r="H9" s="90"/>
      <c r="I9" s="91"/>
      <c r="J9" s="89"/>
      <c r="K9" s="92"/>
      <c r="L9" s="91"/>
      <c r="M9" s="93"/>
      <c r="N9" s="91"/>
      <c r="O9" s="94"/>
      <c r="P9" s="94"/>
    </row>
    <row r="10" spans="1:17" x14ac:dyDescent="0.35">
      <c r="A10" s="12">
        <v>7</v>
      </c>
      <c r="B10" s="110" t="s">
        <v>10</v>
      </c>
      <c r="C10" s="88"/>
      <c r="D10" s="88"/>
      <c r="E10" s="88"/>
      <c r="F10" s="88"/>
      <c r="G10" s="89"/>
      <c r="H10" s="90"/>
      <c r="I10" s="91"/>
      <c r="J10" s="89"/>
      <c r="K10" s="92"/>
      <c r="L10" s="91"/>
      <c r="M10" s="93"/>
      <c r="N10" s="91"/>
      <c r="O10" s="94"/>
      <c r="P10" s="94"/>
    </row>
    <row r="11" spans="1:17" x14ac:dyDescent="0.35">
      <c r="A11" s="12">
        <v>8</v>
      </c>
      <c r="B11" s="110" t="s">
        <v>11</v>
      </c>
      <c r="C11" s="88"/>
      <c r="D11" s="88"/>
      <c r="E11" s="88"/>
      <c r="F11" s="88"/>
      <c r="G11" s="89"/>
      <c r="H11" s="90"/>
      <c r="I11" s="91"/>
      <c r="J11" s="89"/>
      <c r="K11" s="92"/>
      <c r="L11" s="91"/>
      <c r="M11" s="93"/>
      <c r="N11" s="91"/>
      <c r="O11" s="94"/>
      <c r="P11" s="94"/>
    </row>
    <row r="12" spans="1:17" x14ac:dyDescent="0.35">
      <c r="A12" s="12">
        <v>9</v>
      </c>
      <c r="B12" s="110" t="s">
        <v>12</v>
      </c>
      <c r="C12" s="88"/>
      <c r="D12" s="88"/>
      <c r="E12" s="88"/>
      <c r="F12" s="88"/>
      <c r="G12" s="89"/>
      <c r="H12" s="90"/>
      <c r="I12" s="91"/>
      <c r="J12" s="89"/>
      <c r="K12" s="92"/>
      <c r="L12" s="91"/>
      <c r="M12" s="93"/>
      <c r="N12" s="91"/>
      <c r="O12" s="94"/>
      <c r="P12" s="96"/>
    </row>
    <row r="13" spans="1:17" x14ac:dyDescent="0.35">
      <c r="A13" s="12">
        <v>10</v>
      </c>
      <c r="B13" s="110" t="s">
        <v>13</v>
      </c>
      <c r="C13" s="88"/>
      <c r="D13" s="88"/>
      <c r="E13" s="88"/>
      <c r="F13" s="88"/>
      <c r="G13" s="89"/>
      <c r="H13" s="90"/>
      <c r="I13" s="91"/>
      <c r="J13" s="89"/>
      <c r="K13" s="92"/>
      <c r="L13" s="91"/>
      <c r="M13" s="93"/>
      <c r="N13" s="91"/>
      <c r="O13" s="94"/>
      <c r="P13" s="94"/>
    </row>
    <row r="14" spans="1:17" x14ac:dyDescent="0.35">
      <c r="A14" s="12">
        <v>11</v>
      </c>
      <c r="B14" s="110" t="s">
        <v>14</v>
      </c>
      <c r="C14" s="113"/>
      <c r="D14" s="113"/>
      <c r="E14" s="88"/>
      <c r="F14" s="88"/>
      <c r="G14" s="97"/>
      <c r="H14" s="90"/>
      <c r="I14" s="91"/>
      <c r="J14" s="89"/>
      <c r="K14" s="92"/>
      <c r="L14" s="91"/>
      <c r="M14" s="93"/>
      <c r="N14" s="91"/>
      <c r="O14" s="94"/>
      <c r="P14" s="94"/>
    </row>
    <row r="15" spans="1:17" x14ac:dyDescent="0.35">
      <c r="A15" s="12">
        <v>11</v>
      </c>
      <c r="B15" s="110" t="s">
        <v>124</v>
      </c>
      <c r="C15" s="113"/>
      <c r="D15" s="113"/>
      <c r="E15" s="88"/>
      <c r="F15" s="88"/>
      <c r="G15" s="97"/>
      <c r="H15" s="90"/>
      <c r="I15" s="91"/>
      <c r="J15" s="89"/>
      <c r="K15" s="92"/>
      <c r="L15" s="91"/>
      <c r="M15" s="93"/>
      <c r="N15" s="91"/>
      <c r="O15" s="94"/>
      <c r="P15" s="94"/>
    </row>
    <row r="16" spans="1:17" x14ac:dyDescent="0.35">
      <c r="A16" s="12">
        <v>12</v>
      </c>
      <c r="B16" s="110" t="s">
        <v>15</v>
      </c>
      <c r="C16" s="88"/>
      <c r="D16" s="88"/>
      <c r="E16" s="88"/>
      <c r="F16" s="88"/>
      <c r="G16" s="89"/>
      <c r="H16" s="90"/>
      <c r="I16" s="91"/>
      <c r="J16" s="89"/>
      <c r="K16" s="92"/>
      <c r="L16" s="91"/>
      <c r="M16" s="93"/>
      <c r="N16" s="91"/>
      <c r="O16" s="94"/>
      <c r="P16" s="94"/>
    </row>
    <row r="17" spans="1:17" x14ac:dyDescent="0.35">
      <c r="A17" s="12">
        <v>13</v>
      </c>
      <c r="B17" s="110" t="s">
        <v>16</v>
      </c>
      <c r="C17" s="88"/>
      <c r="D17" s="88"/>
      <c r="E17" s="88"/>
      <c r="F17" s="89"/>
      <c r="G17" s="89"/>
      <c r="H17" s="90"/>
      <c r="I17" s="91"/>
      <c r="J17" s="89"/>
      <c r="K17" s="92"/>
      <c r="L17" s="91"/>
      <c r="M17" s="93"/>
      <c r="N17" s="91"/>
      <c r="O17" s="94"/>
      <c r="P17" s="94"/>
      <c r="Q17"/>
    </row>
    <row r="18" spans="1:17" x14ac:dyDescent="0.35">
      <c r="A18" s="12">
        <v>14</v>
      </c>
      <c r="B18" s="110" t="s">
        <v>17</v>
      </c>
      <c r="C18" s="88"/>
      <c r="D18" s="88"/>
      <c r="E18" s="88"/>
      <c r="F18" s="88"/>
      <c r="G18" s="89"/>
      <c r="H18" s="90"/>
      <c r="I18" s="91"/>
      <c r="J18" s="89"/>
      <c r="K18" s="92"/>
      <c r="L18" s="91"/>
      <c r="M18" s="93"/>
      <c r="N18" s="91"/>
      <c r="O18" s="94"/>
      <c r="P18" s="94"/>
    </row>
    <row r="19" spans="1:17" x14ac:dyDescent="0.35">
      <c r="A19" s="12">
        <v>15</v>
      </c>
      <c r="B19" s="110" t="s">
        <v>18</v>
      </c>
      <c r="C19" s="88"/>
      <c r="D19" s="88"/>
      <c r="E19" s="88"/>
      <c r="F19" s="88"/>
      <c r="G19" s="89"/>
      <c r="H19" s="90"/>
      <c r="I19" s="91"/>
      <c r="J19" s="89"/>
      <c r="K19" s="92"/>
      <c r="L19" s="91"/>
      <c r="M19" s="93"/>
      <c r="N19" s="91"/>
      <c r="O19" s="94"/>
      <c r="P19" s="94"/>
    </row>
    <row r="20" spans="1:17" x14ac:dyDescent="0.35">
      <c r="A20" s="12">
        <v>16</v>
      </c>
      <c r="B20" s="110" t="s">
        <v>33</v>
      </c>
      <c r="C20" s="88"/>
      <c r="D20" s="88"/>
      <c r="E20" s="88"/>
      <c r="F20" s="88"/>
      <c r="G20" s="89"/>
      <c r="H20" s="90"/>
      <c r="I20" s="91"/>
      <c r="J20" s="89"/>
      <c r="K20" s="92"/>
      <c r="L20" s="98"/>
      <c r="M20" s="93"/>
      <c r="N20" s="91"/>
      <c r="O20" s="94"/>
      <c r="P20" s="94"/>
      <c r="Q20"/>
    </row>
    <row r="21" spans="1:17" x14ac:dyDescent="0.35">
      <c r="A21" s="12">
        <v>17</v>
      </c>
      <c r="B21" s="110" t="s">
        <v>19</v>
      </c>
      <c r="C21" s="88"/>
      <c r="D21" s="88"/>
      <c r="E21" s="88"/>
      <c r="F21" s="88"/>
      <c r="G21" s="89"/>
      <c r="H21" s="90"/>
      <c r="I21" s="91"/>
      <c r="J21" s="89"/>
      <c r="K21" s="92"/>
      <c r="L21" s="91"/>
      <c r="M21" s="93"/>
      <c r="N21" s="91"/>
      <c r="O21" s="94"/>
      <c r="P21" s="94"/>
    </row>
    <row r="22" spans="1:17" x14ac:dyDescent="0.35">
      <c r="A22" s="12">
        <v>18</v>
      </c>
      <c r="B22" s="110" t="s">
        <v>24</v>
      </c>
      <c r="C22" s="88"/>
      <c r="D22" s="88"/>
      <c r="E22" s="88"/>
      <c r="F22" s="88"/>
      <c r="G22" s="89"/>
      <c r="H22" s="90"/>
      <c r="I22" s="91"/>
      <c r="J22" s="89"/>
      <c r="K22" s="92"/>
      <c r="L22" s="91"/>
      <c r="M22" s="93"/>
      <c r="N22" s="91"/>
      <c r="O22" s="94"/>
      <c r="P22" s="94"/>
    </row>
    <row r="23" spans="1:17" x14ac:dyDescent="0.35">
      <c r="A23" s="12">
        <v>19</v>
      </c>
      <c r="B23" s="110" t="s">
        <v>20</v>
      </c>
      <c r="C23" s="88"/>
      <c r="D23" s="88"/>
      <c r="E23" s="88"/>
      <c r="F23" s="88"/>
      <c r="G23" s="97"/>
      <c r="H23" s="90"/>
      <c r="I23" s="91"/>
      <c r="J23" s="89"/>
      <c r="K23" s="92"/>
      <c r="L23" s="91"/>
      <c r="M23" s="93"/>
      <c r="N23" s="91"/>
      <c r="O23" s="94"/>
      <c r="P23" s="94"/>
    </row>
    <row r="24" spans="1:17" x14ac:dyDescent="0.35">
      <c r="A24" s="12">
        <v>20</v>
      </c>
      <c r="B24" s="110" t="s">
        <v>21</v>
      </c>
      <c r="C24" s="88"/>
      <c r="D24" s="88"/>
      <c r="E24" s="88"/>
      <c r="F24" s="88"/>
      <c r="G24" s="89"/>
      <c r="H24" s="90"/>
      <c r="I24" s="91"/>
      <c r="J24" s="89"/>
      <c r="K24" s="92"/>
      <c r="L24" s="91"/>
      <c r="M24" s="93"/>
      <c r="N24" s="91"/>
      <c r="O24" s="94"/>
      <c r="P24" s="94"/>
    </row>
    <row r="25" spans="1:17" x14ac:dyDescent="0.35">
      <c r="A25" s="12">
        <v>21</v>
      </c>
      <c r="B25" s="110" t="s">
        <v>22</v>
      </c>
      <c r="C25" s="88"/>
      <c r="D25" s="88"/>
      <c r="E25" s="88"/>
      <c r="F25" s="88"/>
      <c r="G25" s="89"/>
      <c r="H25" s="90"/>
      <c r="I25" s="91"/>
      <c r="J25" s="89"/>
      <c r="K25" s="92"/>
      <c r="L25" s="91"/>
      <c r="M25" s="93"/>
      <c r="N25" s="91"/>
      <c r="O25" s="94"/>
      <c r="P25" s="94"/>
    </row>
    <row r="26" spans="1:17" ht="15" thickBot="1" x14ac:dyDescent="0.4">
      <c r="A26" s="13">
        <v>22</v>
      </c>
      <c r="B26" s="16" t="s">
        <v>23</v>
      </c>
      <c r="C26" s="99"/>
      <c r="D26" s="99"/>
      <c r="E26" s="99"/>
      <c r="F26" s="99"/>
      <c r="G26" s="100"/>
      <c r="H26" s="101"/>
      <c r="I26" s="102"/>
      <c r="J26" s="100"/>
      <c r="K26" s="103"/>
      <c r="L26" s="102"/>
      <c r="M26" s="104"/>
      <c r="N26" s="102"/>
      <c r="O26" s="105"/>
      <c r="P26" s="105"/>
    </row>
    <row r="27" spans="1:17" ht="15" thickBot="1" x14ac:dyDescent="0.4">
      <c r="A27" s="13">
        <v>25</v>
      </c>
      <c r="B27" s="16" t="s">
        <v>118</v>
      </c>
      <c r="C27" s="99"/>
      <c r="D27" s="99"/>
      <c r="E27" s="99"/>
      <c r="F27" s="99"/>
      <c r="G27" s="100"/>
      <c r="H27" s="101"/>
      <c r="I27" s="102"/>
      <c r="J27" s="100"/>
      <c r="K27" s="103"/>
      <c r="L27" s="102"/>
      <c r="M27" s="104"/>
      <c r="N27" s="102"/>
      <c r="O27" s="105"/>
      <c r="P27" s="105"/>
    </row>
    <row r="28" spans="1:17" x14ac:dyDescent="0.35">
      <c r="C28" s="75"/>
      <c r="D28" s="75"/>
    </row>
    <row r="29" spans="1:17" x14ac:dyDescent="0.35">
      <c r="C29" s="106"/>
      <c r="D29" s="107" t="s">
        <v>121</v>
      </c>
    </row>
    <row r="30" spans="1:17" x14ac:dyDescent="0.35">
      <c r="C30" s="108"/>
      <c r="D30" s="107" t="s">
        <v>122</v>
      </c>
    </row>
    <row r="31" spans="1:17" x14ac:dyDescent="0.35">
      <c r="C31" s="109"/>
      <c r="D31" s="107" t="s">
        <v>123</v>
      </c>
    </row>
    <row r="32" spans="1:17" x14ac:dyDescent="0.35">
      <c r="C32" s="107"/>
      <c r="D32" s="107"/>
    </row>
  </sheetData>
  <mergeCells count="4">
    <mergeCell ref="C2:E2"/>
    <mergeCell ref="G2:H2"/>
    <mergeCell ref="J2:L2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7"/>
  <sheetViews>
    <sheetView zoomScale="77" zoomScaleNormal="70" workbookViewId="0">
      <pane xSplit="2" ySplit="2" topLeftCell="C3" activePane="bottomRight" state="frozenSplit"/>
      <selection sqref="A1:A1048576"/>
      <selection pane="topRight" activeCell="N1" sqref="N1"/>
      <selection pane="bottomLeft" activeCell="A3" sqref="A3"/>
      <selection pane="bottomRight" activeCell="P1" sqref="A1:P1048576"/>
    </sheetView>
  </sheetViews>
  <sheetFormatPr baseColWidth="10" defaultColWidth="8.7265625" defaultRowHeight="14.5" x14ac:dyDescent="0.35"/>
  <cols>
    <col min="1" max="1" width="5.26953125" style="2" customWidth="1"/>
    <col min="2" max="2" width="24.453125" bestFit="1" customWidth="1"/>
    <col min="3" max="15" width="6" style="4" customWidth="1"/>
    <col min="16" max="16" width="6" style="1" customWidth="1"/>
    <col min="17" max="17" width="12.54296875" style="1" customWidth="1"/>
    <col min="23" max="30" width="4.1796875" customWidth="1"/>
    <col min="31" max="31" width="4.1796875" style="73" customWidth="1"/>
    <col min="32" max="64" width="4.1796875" customWidth="1"/>
  </cols>
  <sheetData>
    <row r="1" spans="1:41" ht="15" thickBot="1" x14ac:dyDescent="0.4"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K1" s="4">
        <v>7</v>
      </c>
      <c r="L1" s="4">
        <v>8</v>
      </c>
      <c r="M1" s="4">
        <v>9</v>
      </c>
      <c r="N1" s="4">
        <v>10</v>
      </c>
      <c r="O1" s="4">
        <v>11</v>
      </c>
      <c r="P1" s="1">
        <v>12</v>
      </c>
      <c r="Q1" s="1" t="s">
        <v>109</v>
      </c>
    </row>
    <row r="2" spans="1:41" ht="149.5" customHeight="1" thickBot="1" x14ac:dyDescent="0.4">
      <c r="C2" s="78" t="s">
        <v>31</v>
      </c>
      <c r="D2" s="79"/>
      <c r="E2" s="42" t="s">
        <v>88</v>
      </c>
      <c r="F2" s="76" t="s">
        <v>30</v>
      </c>
      <c r="G2" s="77"/>
      <c r="H2" s="23" t="s">
        <v>1</v>
      </c>
      <c r="I2" s="78" t="s">
        <v>2</v>
      </c>
      <c r="J2" s="80"/>
      <c r="K2" s="79"/>
      <c r="L2" s="23" t="s">
        <v>90</v>
      </c>
      <c r="M2" s="23" t="s">
        <v>91</v>
      </c>
      <c r="N2" s="19" t="s">
        <v>3</v>
      </c>
      <c r="O2" s="55" t="s">
        <v>103</v>
      </c>
      <c r="P2" s="3" t="s">
        <v>89</v>
      </c>
      <c r="Q2" s="3"/>
      <c r="AA2" s="43" t="s">
        <v>92</v>
      </c>
      <c r="AB2" s="43" t="s">
        <v>93</v>
      </c>
      <c r="AC2" s="43" t="s">
        <v>94</v>
      </c>
      <c r="AD2" s="43" t="s">
        <v>95</v>
      </c>
      <c r="AE2" s="36" t="s">
        <v>113</v>
      </c>
      <c r="AF2" s="43" t="s">
        <v>96</v>
      </c>
      <c r="AG2" s="43" t="s">
        <v>97</v>
      </c>
      <c r="AH2" s="43" t="s">
        <v>98</v>
      </c>
      <c r="AI2" s="43" t="s">
        <v>99</v>
      </c>
      <c r="AJ2" s="43" t="s">
        <v>100</v>
      </c>
      <c r="AK2" s="43"/>
      <c r="AL2" s="43"/>
      <c r="AM2" s="43"/>
      <c r="AN2" s="43"/>
      <c r="AO2" s="43"/>
    </row>
    <row r="3" spans="1:41" ht="128.25" customHeight="1" thickBot="1" x14ac:dyDescent="0.4">
      <c r="C3" s="53" t="s">
        <v>104</v>
      </c>
      <c r="D3" s="28" t="s">
        <v>0</v>
      </c>
      <c r="E3" s="28" t="s">
        <v>25</v>
      </c>
      <c r="F3" s="21" t="s">
        <v>76</v>
      </c>
      <c r="G3" s="44" t="s">
        <v>26</v>
      </c>
      <c r="H3" s="64"/>
      <c r="I3" s="65" t="s">
        <v>101</v>
      </c>
      <c r="J3" s="65" t="s">
        <v>112</v>
      </c>
      <c r="K3" s="65" t="s">
        <v>102</v>
      </c>
      <c r="M3" s="4" t="s">
        <v>107</v>
      </c>
      <c r="N3" s="20"/>
      <c r="O3" s="24"/>
      <c r="AA3" s="43"/>
      <c r="AB3" s="43"/>
      <c r="AC3" s="43"/>
      <c r="AD3" s="43"/>
      <c r="AE3" s="74" t="s">
        <v>114</v>
      </c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x14ac:dyDescent="0.35">
      <c r="A4" s="10">
        <v>1</v>
      </c>
      <c r="B4" s="14" t="s">
        <v>4</v>
      </c>
      <c r="C4" s="30" t="s">
        <v>105</v>
      </c>
      <c r="D4" s="30"/>
      <c r="E4" s="17"/>
      <c r="F4" s="11"/>
      <c r="G4" s="45"/>
      <c r="H4" s="60"/>
      <c r="I4" s="51"/>
      <c r="J4" s="69"/>
      <c r="K4" s="52"/>
      <c r="L4" s="56"/>
      <c r="M4" s="52"/>
      <c r="N4" s="25"/>
      <c r="O4" s="25"/>
      <c r="Q4" s="1" t="s">
        <v>111</v>
      </c>
      <c r="X4" s="33"/>
      <c r="AE4" s="73" t="s">
        <v>117</v>
      </c>
    </row>
    <row r="5" spans="1:41" x14ac:dyDescent="0.35">
      <c r="A5" s="12">
        <v>2</v>
      </c>
      <c r="B5" s="35" t="s">
        <v>5</v>
      </c>
      <c r="C5" s="29" t="s">
        <v>35</v>
      </c>
      <c r="D5" s="29" t="s">
        <v>28</v>
      </c>
      <c r="E5" s="22"/>
      <c r="F5" s="38"/>
      <c r="G5" s="46"/>
      <c r="H5" s="61"/>
      <c r="I5" s="7"/>
      <c r="J5" s="70"/>
      <c r="K5" s="6"/>
      <c r="L5" s="57"/>
      <c r="M5" s="6"/>
      <c r="N5" s="26"/>
      <c r="O5" s="26"/>
      <c r="P5" t="s">
        <v>29</v>
      </c>
      <c r="Q5" t="s">
        <v>108</v>
      </c>
      <c r="R5" t="s">
        <v>36</v>
      </c>
      <c r="V5" s="31"/>
      <c r="AE5" s="73" t="s">
        <v>117</v>
      </c>
    </row>
    <row r="6" spans="1:41" ht="14.5" customHeight="1" x14ac:dyDescent="0.35">
      <c r="A6" s="12">
        <v>3</v>
      </c>
      <c r="B6" t="s">
        <v>6</v>
      </c>
      <c r="C6" s="29">
        <v>3</v>
      </c>
      <c r="D6" s="29"/>
      <c r="E6" s="18"/>
      <c r="F6" s="5"/>
      <c r="G6" s="46"/>
      <c r="H6" s="61"/>
      <c r="I6" s="50" t="s">
        <v>27</v>
      </c>
      <c r="J6" s="70"/>
      <c r="K6" s="49"/>
      <c r="L6" s="57"/>
      <c r="M6" s="6"/>
      <c r="N6" s="26"/>
      <c r="O6" s="26"/>
      <c r="Q6" s="1" t="s">
        <v>108</v>
      </c>
      <c r="V6" s="31"/>
      <c r="AE6" s="73" t="s">
        <v>115</v>
      </c>
    </row>
    <row r="7" spans="1:41" ht="14.5" customHeight="1" x14ac:dyDescent="0.35">
      <c r="A7" s="12">
        <v>4</v>
      </c>
      <c r="B7" s="35" t="s">
        <v>7</v>
      </c>
      <c r="C7" s="29">
        <v>4</v>
      </c>
      <c r="D7" s="29"/>
      <c r="E7" s="22"/>
      <c r="F7" s="5"/>
      <c r="G7" s="46"/>
      <c r="H7" s="61"/>
      <c r="I7" s="7"/>
      <c r="J7" s="72"/>
      <c r="K7" s="6"/>
      <c r="L7" s="57"/>
      <c r="M7" s="67" t="s">
        <v>27</v>
      </c>
      <c r="N7" s="26" t="s">
        <v>27</v>
      </c>
      <c r="O7" s="26"/>
      <c r="Q7" s="1" t="s">
        <v>108</v>
      </c>
      <c r="V7" s="31"/>
      <c r="AD7" s="73"/>
      <c r="AE7" s="73" t="s">
        <v>115</v>
      </c>
    </row>
    <row r="8" spans="1:41" ht="14.5" customHeight="1" x14ac:dyDescent="0.35">
      <c r="A8" s="12">
        <v>5</v>
      </c>
      <c r="B8" s="35" t="s">
        <v>8</v>
      </c>
      <c r="C8" s="29">
        <v>5</v>
      </c>
      <c r="D8" s="29"/>
      <c r="E8" s="22"/>
      <c r="F8" s="5"/>
      <c r="G8" s="46"/>
      <c r="H8" s="68"/>
      <c r="I8" s="50"/>
      <c r="J8" s="70"/>
      <c r="K8" s="6"/>
      <c r="L8" s="57"/>
      <c r="M8" s="67" t="s">
        <v>27</v>
      </c>
      <c r="N8" s="26"/>
      <c r="O8" s="26"/>
      <c r="P8" s="1" t="s">
        <v>32</v>
      </c>
      <c r="Q8" s="1" t="s">
        <v>108</v>
      </c>
      <c r="R8" t="s">
        <v>77</v>
      </c>
      <c r="V8" s="31"/>
      <c r="AE8" s="73" t="s">
        <v>115</v>
      </c>
    </row>
    <row r="9" spans="1:41" x14ac:dyDescent="0.35">
      <c r="A9" s="12">
        <v>6</v>
      </c>
      <c r="B9" s="35" t="s">
        <v>9</v>
      </c>
      <c r="C9" s="29">
        <v>6</v>
      </c>
      <c r="D9" s="29"/>
      <c r="E9" s="40"/>
      <c r="F9" s="5"/>
      <c r="G9" s="46"/>
      <c r="H9" s="61"/>
      <c r="I9" s="7"/>
      <c r="J9" s="70"/>
      <c r="K9" s="6"/>
      <c r="L9" s="57"/>
      <c r="M9" s="67" t="s">
        <v>27</v>
      </c>
      <c r="N9" s="26"/>
      <c r="O9" s="26"/>
      <c r="Q9" s="1" t="s">
        <v>108</v>
      </c>
      <c r="V9" s="31"/>
      <c r="AE9" s="73" t="s">
        <v>115</v>
      </c>
    </row>
    <row r="10" spans="1:41" x14ac:dyDescent="0.35">
      <c r="A10" s="12">
        <v>7</v>
      </c>
      <c r="B10" s="15" t="s">
        <v>10</v>
      </c>
      <c r="C10" s="29"/>
      <c r="D10" s="18"/>
      <c r="E10" s="18"/>
      <c r="F10" s="5"/>
      <c r="G10" s="47"/>
      <c r="H10" s="61"/>
      <c r="I10" s="7"/>
      <c r="J10" s="70"/>
      <c r="K10" s="6"/>
      <c r="L10" s="57"/>
      <c r="M10" s="67" t="s">
        <v>27</v>
      </c>
      <c r="N10" s="26"/>
      <c r="O10" s="26"/>
      <c r="V10" s="31"/>
      <c r="AE10" s="73" t="s">
        <v>116</v>
      </c>
    </row>
    <row r="11" spans="1:41" x14ac:dyDescent="0.35">
      <c r="A11" s="12">
        <v>8</v>
      </c>
      <c r="B11" s="15" t="s">
        <v>11</v>
      </c>
      <c r="C11" s="37"/>
      <c r="D11" s="37"/>
      <c r="E11" s="22"/>
      <c r="F11" s="5"/>
      <c r="G11" s="47"/>
      <c r="H11" s="61"/>
      <c r="I11" s="7"/>
      <c r="J11" s="70"/>
      <c r="K11" s="6"/>
      <c r="L11" s="57"/>
      <c r="M11" s="6"/>
      <c r="N11" s="26"/>
      <c r="O11" s="26"/>
      <c r="V11" s="31"/>
      <c r="AE11" s="73" t="s">
        <v>116</v>
      </c>
    </row>
    <row r="12" spans="1:41" x14ac:dyDescent="0.35">
      <c r="A12" s="12">
        <v>9</v>
      </c>
      <c r="B12" s="15" t="s">
        <v>12</v>
      </c>
      <c r="C12" s="37"/>
      <c r="D12" s="37"/>
      <c r="E12" s="22"/>
      <c r="F12" s="5"/>
      <c r="G12" s="47"/>
      <c r="H12" s="61"/>
      <c r="I12" s="7"/>
      <c r="J12" s="70"/>
      <c r="K12" s="6"/>
      <c r="L12" s="57"/>
      <c r="M12" s="6"/>
      <c r="N12" s="26"/>
      <c r="O12" s="35" t="s">
        <v>6</v>
      </c>
      <c r="V12" s="31"/>
      <c r="AE12" s="73" t="s">
        <v>32</v>
      </c>
    </row>
    <row r="13" spans="1:41" x14ac:dyDescent="0.35">
      <c r="A13" s="12">
        <v>10</v>
      </c>
      <c r="B13" s="15" t="s">
        <v>13</v>
      </c>
      <c r="C13" s="41"/>
      <c r="D13" s="37"/>
      <c r="E13" s="41"/>
      <c r="F13" s="5"/>
      <c r="G13" s="47"/>
      <c r="H13" s="61"/>
      <c r="I13" s="7"/>
      <c r="J13" s="70"/>
      <c r="K13" s="6"/>
      <c r="L13" s="57"/>
      <c r="M13" s="6" t="s">
        <v>32</v>
      </c>
      <c r="N13" s="26"/>
      <c r="O13" s="26"/>
      <c r="V13" s="31"/>
      <c r="W13" s="32"/>
      <c r="AE13" s="73" t="s">
        <v>32</v>
      </c>
    </row>
    <row r="14" spans="1:41" x14ac:dyDescent="0.35">
      <c r="A14" s="12">
        <v>11</v>
      </c>
      <c r="B14" s="35" t="s">
        <v>14</v>
      </c>
      <c r="C14" s="29">
        <v>7</v>
      </c>
      <c r="D14" s="29"/>
      <c r="E14" s="18"/>
      <c r="F14" s="62" t="s">
        <v>27</v>
      </c>
      <c r="G14" s="47"/>
      <c r="H14" s="61"/>
      <c r="I14" s="7"/>
      <c r="J14" s="70"/>
      <c r="K14" s="49" t="s">
        <v>27</v>
      </c>
      <c r="L14" s="57"/>
      <c r="M14" s="49" t="s">
        <v>27</v>
      </c>
      <c r="N14" s="26"/>
      <c r="O14" s="26"/>
      <c r="Q14" s="1" t="s">
        <v>108</v>
      </c>
      <c r="AE14" s="73" t="s">
        <v>115</v>
      </c>
    </row>
    <row r="15" spans="1:41" x14ac:dyDescent="0.35">
      <c r="A15" s="12">
        <v>12</v>
      </c>
      <c r="B15" s="15" t="s">
        <v>15</v>
      </c>
      <c r="C15" s="29"/>
      <c r="D15" s="29"/>
      <c r="E15" s="22"/>
      <c r="F15" s="5"/>
      <c r="G15" s="47"/>
      <c r="H15" s="61"/>
      <c r="I15" s="7"/>
      <c r="J15" s="70"/>
      <c r="K15" s="6"/>
      <c r="L15" s="57"/>
      <c r="M15" s="6"/>
      <c r="N15" s="26"/>
      <c r="O15" s="26"/>
      <c r="Q15" s="1" t="s">
        <v>108</v>
      </c>
      <c r="V15" s="31"/>
      <c r="AE15" s="73" t="s">
        <v>117</v>
      </c>
    </row>
    <row r="16" spans="1:41" x14ac:dyDescent="0.35">
      <c r="A16" s="12">
        <v>13</v>
      </c>
      <c r="B16" s="35" t="s">
        <v>16</v>
      </c>
      <c r="C16" s="29">
        <v>8</v>
      </c>
      <c r="D16" s="34">
        <v>8</v>
      </c>
      <c r="E16" s="40"/>
      <c r="F16" s="40"/>
      <c r="G16" s="46"/>
      <c r="H16" s="61"/>
      <c r="I16" s="7"/>
      <c r="J16" s="70"/>
      <c r="K16" s="6"/>
      <c r="L16" s="57"/>
      <c r="M16" s="54"/>
      <c r="N16" s="26"/>
      <c r="O16" s="26"/>
      <c r="P16" t="s">
        <v>37</v>
      </c>
      <c r="Q16" t="s">
        <v>108</v>
      </c>
      <c r="V16" s="31"/>
      <c r="AE16" s="73" t="s">
        <v>32</v>
      </c>
    </row>
    <row r="17" spans="1:31" x14ac:dyDescent="0.35">
      <c r="A17" s="12">
        <v>14</v>
      </c>
      <c r="B17" s="15" t="s">
        <v>17</v>
      </c>
      <c r="C17" s="18"/>
      <c r="D17" s="18"/>
      <c r="E17" s="18"/>
      <c r="F17" s="7"/>
      <c r="G17" s="47"/>
      <c r="H17" s="61"/>
      <c r="I17" s="7"/>
      <c r="J17" s="70"/>
      <c r="K17" s="6"/>
      <c r="L17" s="57"/>
      <c r="M17" s="6" t="s">
        <v>27</v>
      </c>
      <c r="N17" s="26"/>
      <c r="O17" s="26"/>
      <c r="Q17" s="1" t="s">
        <v>110</v>
      </c>
      <c r="V17" s="31"/>
      <c r="AE17" s="73" t="s">
        <v>116</v>
      </c>
    </row>
    <row r="18" spans="1:31" x14ac:dyDescent="0.35">
      <c r="A18" s="12">
        <v>15</v>
      </c>
      <c r="B18" s="15" t="s">
        <v>18</v>
      </c>
      <c r="C18" s="18"/>
      <c r="D18" s="18"/>
      <c r="E18" s="18"/>
      <c r="F18" s="7"/>
      <c r="G18" s="46"/>
      <c r="H18" s="61"/>
      <c r="I18" s="7"/>
      <c r="J18" s="70"/>
      <c r="K18" s="6"/>
      <c r="L18" s="57"/>
      <c r="M18" s="6"/>
      <c r="N18" s="26"/>
      <c r="O18" s="26"/>
      <c r="AE18" s="73" t="s">
        <v>116</v>
      </c>
    </row>
    <row r="19" spans="1:31" x14ac:dyDescent="0.35">
      <c r="A19" s="12">
        <v>16</v>
      </c>
      <c r="B19" s="35" t="s">
        <v>33</v>
      </c>
      <c r="C19" s="34">
        <v>9</v>
      </c>
      <c r="D19" s="34">
        <v>9</v>
      </c>
      <c r="E19" s="22"/>
      <c r="F19" s="38"/>
      <c r="G19" s="47"/>
      <c r="H19" s="61"/>
      <c r="I19" s="7"/>
      <c r="J19" s="70"/>
      <c r="K19" s="59"/>
      <c r="L19" s="57"/>
      <c r="M19" s="6"/>
      <c r="N19" s="26"/>
      <c r="O19" s="26"/>
      <c r="P19" t="s">
        <v>75</v>
      </c>
      <c r="Q19" t="s">
        <v>108</v>
      </c>
      <c r="V19" s="31"/>
      <c r="AE19" s="73" t="s">
        <v>32</v>
      </c>
    </row>
    <row r="20" spans="1:31" x14ac:dyDescent="0.35">
      <c r="A20" s="12">
        <v>17</v>
      </c>
      <c r="B20" s="35" t="s">
        <v>19</v>
      </c>
      <c r="C20" s="37"/>
      <c r="D20" s="37"/>
      <c r="E20" s="18"/>
      <c r="F20" s="7"/>
      <c r="G20" s="47"/>
      <c r="H20" s="61"/>
      <c r="I20" s="7"/>
      <c r="J20" s="70"/>
      <c r="K20" s="6"/>
      <c r="L20" s="57"/>
      <c r="M20" s="6" t="s">
        <v>32</v>
      </c>
      <c r="N20" s="26"/>
      <c r="O20" s="26"/>
      <c r="V20" s="31"/>
      <c r="AE20" s="73" t="s">
        <v>32</v>
      </c>
    </row>
    <row r="21" spans="1:31" x14ac:dyDescent="0.35">
      <c r="A21" s="12">
        <v>18</v>
      </c>
      <c r="B21" s="15" t="s">
        <v>24</v>
      </c>
      <c r="C21" s="34">
        <v>10</v>
      </c>
      <c r="D21" s="34">
        <v>10</v>
      </c>
      <c r="E21" s="41"/>
      <c r="F21" s="7"/>
      <c r="G21" s="47"/>
      <c r="H21" s="61"/>
      <c r="I21" s="7"/>
      <c r="J21" s="70"/>
      <c r="K21" s="6"/>
      <c r="L21" s="57"/>
      <c r="M21" s="6"/>
      <c r="N21" s="26"/>
      <c r="O21" s="26"/>
      <c r="V21" s="31"/>
      <c r="AE21" s="73" t="s">
        <v>116</v>
      </c>
    </row>
    <row r="22" spans="1:31" x14ac:dyDescent="0.35">
      <c r="A22" s="12">
        <v>19</v>
      </c>
      <c r="B22" s="35" t="s">
        <v>20</v>
      </c>
      <c r="C22" s="34">
        <v>11</v>
      </c>
      <c r="D22" s="34">
        <v>11</v>
      </c>
      <c r="E22" s="18"/>
      <c r="F22" s="62" t="s">
        <v>27</v>
      </c>
      <c r="G22" s="47"/>
      <c r="H22" s="61"/>
      <c r="I22" s="7"/>
      <c r="J22" s="70"/>
      <c r="K22" s="6"/>
      <c r="L22" s="57"/>
      <c r="M22" s="6" t="s">
        <v>27</v>
      </c>
      <c r="N22" s="26"/>
      <c r="O22" s="26"/>
      <c r="AE22" s="73" t="s">
        <v>116</v>
      </c>
    </row>
    <row r="23" spans="1:31" x14ac:dyDescent="0.35">
      <c r="A23" s="12">
        <v>20</v>
      </c>
      <c r="B23" s="15" t="s">
        <v>21</v>
      </c>
      <c r="C23" s="18"/>
      <c r="D23" s="18"/>
      <c r="E23" s="18"/>
      <c r="F23" s="7"/>
      <c r="G23" s="47"/>
      <c r="H23" s="61"/>
      <c r="I23" s="7"/>
      <c r="J23" s="70"/>
      <c r="K23" s="6"/>
      <c r="L23" s="57"/>
      <c r="M23" s="6"/>
      <c r="N23" s="26"/>
      <c r="O23" s="26"/>
      <c r="AE23" s="73" t="s">
        <v>116</v>
      </c>
    </row>
    <row r="24" spans="1:31" x14ac:dyDescent="0.35">
      <c r="A24" s="12">
        <v>21</v>
      </c>
      <c r="B24" s="15" t="s">
        <v>22</v>
      </c>
      <c r="C24" s="18"/>
      <c r="D24" s="18"/>
      <c r="E24" s="22"/>
      <c r="F24" s="5"/>
      <c r="G24" s="46"/>
      <c r="H24" s="61"/>
      <c r="I24" s="7"/>
      <c r="J24" s="70"/>
      <c r="K24" s="6"/>
      <c r="L24" s="57"/>
      <c r="M24" s="6"/>
      <c r="N24" s="26"/>
      <c r="O24" s="26"/>
      <c r="AE24" s="73" t="s">
        <v>116</v>
      </c>
    </row>
    <row r="25" spans="1:31" ht="15" thickBot="1" x14ac:dyDescent="0.4">
      <c r="A25" s="13">
        <v>22</v>
      </c>
      <c r="B25" s="16" t="s">
        <v>23</v>
      </c>
      <c r="C25" s="39"/>
      <c r="D25" s="39"/>
      <c r="E25" s="66"/>
      <c r="F25" s="8"/>
      <c r="G25" s="48"/>
      <c r="H25" s="63"/>
      <c r="I25" s="8"/>
      <c r="J25" s="71"/>
      <c r="K25" s="9"/>
      <c r="L25" s="58"/>
      <c r="M25" s="9"/>
      <c r="N25" s="27"/>
      <c r="O25" s="27"/>
      <c r="Q25" s="1" t="s">
        <v>108</v>
      </c>
      <c r="AE25" s="73" t="s">
        <v>116</v>
      </c>
    </row>
    <row r="26" spans="1:31" ht="15" thickBot="1" x14ac:dyDescent="0.4">
      <c r="A26" s="13">
        <v>25</v>
      </c>
      <c r="B26" s="16" t="s">
        <v>118</v>
      </c>
      <c r="C26" s="39"/>
      <c r="D26" s="39"/>
      <c r="E26" s="66"/>
      <c r="F26" s="8"/>
      <c r="G26" s="48"/>
      <c r="H26" s="63"/>
      <c r="I26" s="8"/>
      <c r="J26" s="71"/>
      <c r="K26" s="9"/>
      <c r="L26" s="58"/>
      <c r="M26" s="9"/>
      <c r="N26" s="27"/>
      <c r="O26" s="27"/>
      <c r="Q26" s="1" t="s">
        <v>108</v>
      </c>
    </row>
    <row r="27" spans="1:31" x14ac:dyDescent="0.35">
      <c r="C27" s="75" t="s">
        <v>106</v>
      </c>
      <c r="Q27" s="1">
        <f>COUNTIF(Q4:Q26,"TO DO")</f>
        <v>11</v>
      </c>
    </row>
  </sheetData>
  <mergeCells count="3">
    <mergeCell ref="F2:G2"/>
    <mergeCell ref="C2:D2"/>
    <mergeCell ref="I2:K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4"/>
  <sheetViews>
    <sheetView zoomScale="88" workbookViewId="0">
      <pane xSplit="1" ySplit="2" topLeftCell="B7" activePane="bottomRight" state="frozenSplit"/>
      <selection activeCell="P5" sqref="P5"/>
      <selection pane="topRight" activeCell="Q1" sqref="Q1"/>
      <selection pane="bottomLeft" activeCell="A5" sqref="A5"/>
      <selection pane="bottomRight" activeCell="H34" sqref="H34"/>
    </sheetView>
  </sheetViews>
  <sheetFormatPr baseColWidth="10" defaultRowHeight="14.5" x14ac:dyDescent="0.35"/>
  <cols>
    <col min="1" max="1" width="14.81640625" bestFit="1" customWidth="1"/>
    <col min="2" max="23" width="4.81640625" customWidth="1"/>
  </cols>
  <sheetData>
    <row r="1" spans="1:23" x14ac:dyDescent="0.3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</row>
    <row r="2" spans="1:23" ht="93" x14ac:dyDescent="0.35">
      <c r="B2" s="36" t="s">
        <v>4</v>
      </c>
      <c r="C2" s="36" t="s">
        <v>5</v>
      </c>
      <c r="D2" s="36" t="s">
        <v>6</v>
      </c>
      <c r="E2" s="36" t="s">
        <v>7</v>
      </c>
      <c r="F2" s="36" t="s">
        <v>8</v>
      </c>
      <c r="G2" s="36" t="s">
        <v>9</v>
      </c>
      <c r="H2" s="36" t="s">
        <v>10</v>
      </c>
      <c r="I2" s="36" t="s">
        <v>11</v>
      </c>
      <c r="J2" s="36" t="s">
        <v>12</v>
      </c>
      <c r="K2" s="36" t="s">
        <v>13</v>
      </c>
      <c r="L2" s="36" t="s">
        <v>14</v>
      </c>
      <c r="M2" s="36" t="s">
        <v>15</v>
      </c>
      <c r="N2" s="36" t="s">
        <v>16</v>
      </c>
      <c r="O2" s="36" t="s">
        <v>17</v>
      </c>
      <c r="P2" s="36" t="s">
        <v>18</v>
      </c>
      <c r="Q2" s="36" t="s">
        <v>33</v>
      </c>
      <c r="R2" s="36" t="s">
        <v>19</v>
      </c>
      <c r="S2" s="36" t="s">
        <v>24</v>
      </c>
      <c r="T2" s="36" t="s">
        <v>20</v>
      </c>
      <c r="U2" s="36" t="s">
        <v>21</v>
      </c>
      <c r="V2" s="36" t="s">
        <v>22</v>
      </c>
      <c r="W2" s="36" t="s">
        <v>23</v>
      </c>
    </row>
    <row r="4" spans="1:23" x14ac:dyDescent="0.35">
      <c r="A4" t="s">
        <v>38</v>
      </c>
      <c r="Q4">
        <v>1</v>
      </c>
    </row>
    <row r="5" spans="1:23" x14ac:dyDescent="0.35">
      <c r="A5" t="s">
        <v>42</v>
      </c>
      <c r="F5">
        <v>1.2</v>
      </c>
    </row>
    <row r="6" spans="1:23" x14ac:dyDescent="0.35">
      <c r="A6" t="s">
        <v>41</v>
      </c>
      <c r="E6" t="s">
        <v>34</v>
      </c>
    </row>
    <row r="7" spans="1:23" x14ac:dyDescent="0.35">
      <c r="A7" t="s">
        <v>40</v>
      </c>
      <c r="B7">
        <v>1.2</v>
      </c>
    </row>
    <row r="8" spans="1:23" x14ac:dyDescent="0.35">
      <c r="A8" t="s">
        <v>39</v>
      </c>
      <c r="N8" t="s">
        <v>87</v>
      </c>
    </row>
    <row r="9" spans="1:23" x14ac:dyDescent="0.35">
      <c r="A9" t="s">
        <v>43</v>
      </c>
      <c r="B9" t="s">
        <v>32</v>
      </c>
      <c r="S9">
        <v>1.4</v>
      </c>
    </row>
    <row r="10" spans="1:23" x14ac:dyDescent="0.35">
      <c r="A10" t="s">
        <v>44</v>
      </c>
      <c r="G10">
        <v>1.2</v>
      </c>
    </row>
    <row r="11" spans="1:23" x14ac:dyDescent="0.35">
      <c r="A11" t="s">
        <v>45</v>
      </c>
      <c r="L11">
        <v>1.5</v>
      </c>
      <c r="S11">
        <v>1.2</v>
      </c>
    </row>
    <row r="12" spans="1:23" x14ac:dyDescent="0.35">
      <c r="A12" t="s">
        <v>46</v>
      </c>
      <c r="N12">
        <v>1</v>
      </c>
    </row>
    <row r="13" spans="1:23" x14ac:dyDescent="0.35">
      <c r="A13" t="s">
        <v>47</v>
      </c>
      <c r="B13" t="s">
        <v>32</v>
      </c>
      <c r="D13" t="s">
        <v>86</v>
      </c>
    </row>
    <row r="14" spans="1:23" x14ac:dyDescent="0.35">
      <c r="A14" t="s">
        <v>48</v>
      </c>
      <c r="D14">
        <v>1.2</v>
      </c>
    </row>
    <row r="15" spans="1:23" x14ac:dyDescent="0.35">
      <c r="A15" t="s">
        <v>49</v>
      </c>
      <c r="F15">
        <v>1.7</v>
      </c>
      <c r="L15">
        <v>1.2</v>
      </c>
    </row>
    <row r="16" spans="1:23" x14ac:dyDescent="0.35">
      <c r="A16" t="s">
        <v>50</v>
      </c>
      <c r="B16" t="s">
        <v>32</v>
      </c>
      <c r="N16">
        <v>1.4</v>
      </c>
    </row>
    <row r="17" spans="1:20" x14ac:dyDescent="0.35">
      <c r="A17" t="s">
        <v>51</v>
      </c>
      <c r="B17">
        <v>1.2</v>
      </c>
      <c r="G17">
        <v>1.4</v>
      </c>
    </row>
    <row r="18" spans="1:20" x14ac:dyDescent="0.35">
      <c r="A18" t="s">
        <v>52</v>
      </c>
      <c r="H18">
        <v>1.9</v>
      </c>
    </row>
    <row r="19" spans="1:20" x14ac:dyDescent="0.35">
      <c r="A19" t="s">
        <v>80</v>
      </c>
      <c r="D19">
        <v>1.8</v>
      </c>
      <c r="Q19">
        <v>1.2</v>
      </c>
    </row>
    <row r="20" spans="1:20" x14ac:dyDescent="0.35">
      <c r="A20" t="s">
        <v>53</v>
      </c>
      <c r="K20">
        <v>1.4</v>
      </c>
    </row>
    <row r="21" spans="1:20" x14ac:dyDescent="0.35">
      <c r="A21" t="s">
        <v>54</v>
      </c>
      <c r="E21">
        <v>1</v>
      </c>
    </row>
    <row r="22" spans="1:20" x14ac:dyDescent="0.35">
      <c r="A22" t="s">
        <v>55</v>
      </c>
      <c r="E22">
        <v>1</v>
      </c>
      <c r="F22">
        <v>1.7</v>
      </c>
    </row>
    <row r="23" spans="1:20" x14ac:dyDescent="0.35">
      <c r="A23" t="s">
        <v>56</v>
      </c>
      <c r="E23">
        <v>1.2</v>
      </c>
      <c r="Q23">
        <v>1.2</v>
      </c>
    </row>
    <row r="24" spans="1:20" x14ac:dyDescent="0.35">
      <c r="A24" t="s">
        <v>57</v>
      </c>
      <c r="F24">
        <v>1.2</v>
      </c>
    </row>
    <row r="25" spans="1:20" x14ac:dyDescent="0.35">
      <c r="A25" t="s">
        <v>58</v>
      </c>
      <c r="G25">
        <v>1</v>
      </c>
    </row>
    <row r="26" spans="1:20" x14ac:dyDescent="0.35">
      <c r="A26" t="s">
        <v>59</v>
      </c>
      <c r="F26">
        <v>1.2</v>
      </c>
    </row>
    <row r="27" spans="1:20" x14ac:dyDescent="0.35">
      <c r="A27" t="s">
        <v>78</v>
      </c>
      <c r="G27">
        <v>1.2</v>
      </c>
      <c r="K27" t="s">
        <v>81</v>
      </c>
    </row>
    <row r="28" spans="1:20" x14ac:dyDescent="0.35">
      <c r="A28" t="s">
        <v>79</v>
      </c>
      <c r="B28" t="s">
        <v>82</v>
      </c>
      <c r="T28">
        <v>1.2</v>
      </c>
    </row>
    <row r="29" spans="1:20" x14ac:dyDescent="0.35">
      <c r="A29" t="s">
        <v>60</v>
      </c>
      <c r="B29" t="s">
        <v>32</v>
      </c>
      <c r="N29">
        <v>1.4</v>
      </c>
    </row>
    <row r="30" spans="1:20" x14ac:dyDescent="0.35">
      <c r="A30" t="s">
        <v>61</v>
      </c>
      <c r="S30" t="s">
        <v>83</v>
      </c>
    </row>
    <row r="31" spans="1:20" x14ac:dyDescent="0.35">
      <c r="A31" t="s">
        <v>62</v>
      </c>
      <c r="T31">
        <v>1.2</v>
      </c>
    </row>
    <row r="32" spans="1:20" x14ac:dyDescent="0.35">
      <c r="A32" t="s">
        <v>63</v>
      </c>
      <c r="B32" t="s">
        <v>32</v>
      </c>
      <c r="L32">
        <v>1.2</v>
      </c>
      <c r="T32">
        <v>1.5</v>
      </c>
    </row>
    <row r="33" spans="1:20" x14ac:dyDescent="0.35">
      <c r="A33" t="s">
        <v>64</v>
      </c>
      <c r="B33">
        <v>1</v>
      </c>
      <c r="L33">
        <v>1</v>
      </c>
    </row>
    <row r="34" spans="1:20" x14ac:dyDescent="0.35">
      <c r="A34" t="s">
        <v>65</v>
      </c>
      <c r="D34">
        <v>1.8</v>
      </c>
      <c r="N34">
        <v>1</v>
      </c>
    </row>
    <row r="35" spans="1:20" x14ac:dyDescent="0.35">
      <c r="A35" t="s">
        <v>66</v>
      </c>
    </row>
    <row r="36" spans="1:20" x14ac:dyDescent="0.35">
      <c r="A36" t="s">
        <v>67</v>
      </c>
      <c r="D36">
        <v>1.2</v>
      </c>
      <c r="S36">
        <v>1.4</v>
      </c>
    </row>
    <row r="37" spans="1:20" x14ac:dyDescent="0.35">
      <c r="A37" t="s">
        <v>84</v>
      </c>
      <c r="E37">
        <v>1.2</v>
      </c>
      <c r="Q37">
        <v>1.2</v>
      </c>
    </row>
    <row r="38" spans="1:20" x14ac:dyDescent="0.35">
      <c r="A38" t="s">
        <v>68</v>
      </c>
      <c r="L38">
        <v>1.2</v>
      </c>
      <c r="S38">
        <v>1.4</v>
      </c>
    </row>
    <row r="39" spans="1:20" x14ac:dyDescent="0.35">
      <c r="A39" t="s">
        <v>69</v>
      </c>
      <c r="B39" t="s">
        <v>32</v>
      </c>
      <c r="E39" t="s">
        <v>85</v>
      </c>
    </row>
    <row r="40" spans="1:20" x14ac:dyDescent="0.35">
      <c r="A40" t="s">
        <v>70</v>
      </c>
      <c r="B40">
        <v>1.2</v>
      </c>
      <c r="C40">
        <v>1.2</v>
      </c>
    </row>
    <row r="41" spans="1:20" x14ac:dyDescent="0.35">
      <c r="A41" t="s">
        <v>71</v>
      </c>
      <c r="G41">
        <v>1.4</v>
      </c>
      <c r="Q41">
        <v>1</v>
      </c>
    </row>
    <row r="42" spans="1:20" x14ac:dyDescent="0.35">
      <c r="A42" t="s">
        <v>72</v>
      </c>
      <c r="C42">
        <v>1.2</v>
      </c>
    </row>
    <row r="43" spans="1:20" x14ac:dyDescent="0.35">
      <c r="A43" t="s">
        <v>73</v>
      </c>
      <c r="E43">
        <v>1.7</v>
      </c>
      <c r="R43">
        <v>1.2</v>
      </c>
    </row>
    <row r="44" spans="1:20" x14ac:dyDescent="0.35">
      <c r="A44" t="s">
        <v>74</v>
      </c>
      <c r="K44">
        <v>1.4</v>
      </c>
      <c r="T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Bilan_2026</vt:lpstr>
      <vt:lpstr>Sujets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Pessoles</dc:creator>
  <cp:lastModifiedBy>Xavier Pessoles</cp:lastModifiedBy>
  <dcterms:created xsi:type="dcterms:W3CDTF">2015-06-05T18:19:34Z</dcterms:created>
  <dcterms:modified xsi:type="dcterms:W3CDTF">2026-03-02T11:07:59Z</dcterms:modified>
</cp:coreProperties>
</file>